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eThong_Web_Logs\SESSION 12\"/>
    </mc:Choice>
  </mc:AlternateContent>
  <xr:revisionPtr revIDLastSave="0" documentId="8_{BB1053A1-3BC0-46D6-B508-AE817D0C36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iSoat" sheetId="1" r:id="rId1"/>
    <sheet name="DanhMucNguoiDung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F6" i="1"/>
  <c r="F5" i="1"/>
  <c r="F4" i="1"/>
  <c r="F3" i="1"/>
  <c r="F2" i="1"/>
</calcChain>
</file>

<file path=xl/sharedStrings.xml><?xml version="1.0" encoding="utf-8"?>
<sst xmlns="http://schemas.openxmlformats.org/spreadsheetml/2006/main" count="32" uniqueCount="27">
  <si>
    <t>MaGiaoDich</t>
  </si>
  <si>
    <t>MaNguoiDung</t>
  </si>
  <si>
    <t>SoTienGiaoDich</t>
  </si>
  <si>
    <t>PhiDoiTac</t>
  </si>
  <si>
    <t>TrangThai</t>
  </si>
  <si>
    <t>TenNguoiDung</t>
  </si>
  <si>
    <t>TX1001</t>
  </si>
  <si>
    <t xml:space="preserve"> U001 </t>
  </si>
  <si>
    <t>Thành công</t>
  </si>
  <si>
    <t>TX1002</t>
  </si>
  <si>
    <t>U002</t>
  </si>
  <si>
    <t>TX1003</t>
  </si>
  <si>
    <t xml:space="preserve"> U003</t>
  </si>
  <si>
    <t>Hoàn tiền</t>
  </si>
  <si>
    <t>TX1004</t>
  </si>
  <si>
    <t xml:space="preserve">U004 </t>
  </si>
  <si>
    <t>TX1005</t>
  </si>
  <si>
    <t>U099</t>
  </si>
  <si>
    <t>Chờ đối soát</t>
  </si>
  <si>
    <t>Tổng phí đối tác</t>
  </si>
  <si>
    <t>U001</t>
  </si>
  <si>
    <t>Nguyễn Minh Anh</t>
  </si>
  <si>
    <t>Trần Gia Bảo</t>
  </si>
  <si>
    <t>U003</t>
  </si>
  <si>
    <t>Lê Hoàng Mai</t>
  </si>
  <si>
    <t>U004</t>
  </si>
  <si>
    <t>Phạm Quốc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</si>
</sst>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₫&quot;"/>
  </numFmts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2" fillId="0" borderId="0" xfId="0" applyFont="1"/>
    <xf numFmtId="164" fontId="0" fillId="0" borderId="0" xfId="0" applyNumberFormat="1"/>
    <xf numFmtId="0" fontId="1" fillId="2" borderId="0" xfId="0" applyFont="1" applyFill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iSoatTable" displayName="DoiSoatTable" ref="A1:F6">
  <autoFilter ref="A1:F6" xr:uid="{00000000-0009-0000-0100-000001000000}">
    <filterColumn colId="0">
      <filters>
        <filter val="TX1001"/>
        <filter val="TX1003"/>
        <filter val="TX1005"/>
      </filters>
    </filterColumn>
  </autoFilter>
  <tableColumns count="6">
    <tableColumn id="1" xr3:uid="{00000000-0010-0000-0000-000001000000}" name="MaGiaoDich"/>
    <tableColumn id="2" xr3:uid="{00000000-0010-0000-0000-000002000000}" name="MaNguoiDung"/>
    <tableColumn id="3" xr3:uid="{00000000-0010-0000-0000-000003000000}" name="SoTienGiaoDich"/>
    <tableColumn id="4" xr3:uid="{00000000-0010-0000-0000-000004000000}" name="PhiDoiTac"/>
    <tableColumn id="5" xr3:uid="{00000000-0010-0000-0000-000005000000}" name="TrangThai"/>
    <tableColumn id="6" xr3:uid="{00000000-0010-0000-0000-000006000000}" name="TenNguoiD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3.8" x14ac:dyDescent="0.25"/>
  <cols>
    <col min="1" max="2" width="18" customWidth="1"/>
    <col min="3" max="3" width="20" customWidth="1"/>
    <col min="4" max="4" width="16" customWidth="1"/>
    <col min="5" max="5" width="20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250000</v>
      </c>
      <c r="D2" s="2">
        <v>2500</v>
      </c>
      <c r="E2" s="2" t="s">
        <v>8</v>
      </c>
      <c r="F2" s="2" t="str">
        <f>IFERROR(VLOOKUP(TRIM(B2),DanhMucNguoiDung!$A$2:$B$5,2,FALSE),"Không tìm thấy người dùng")</f>
        <v>Nguyễn Minh Anh</v>
      </c>
    </row>
    <row r="3" spans="1:6" hidden="1" x14ac:dyDescent="0.25">
      <c r="A3" s="2" t="s">
        <v>9</v>
      </c>
      <c r="B3" s="2" t="s">
        <v>10</v>
      </c>
      <c r="C3" s="2">
        <v>120000</v>
      </c>
      <c r="D3" s="2">
        <v>1200</v>
      </c>
      <c r="E3" s="2" t="s">
        <v>8</v>
      </c>
      <c r="F3" s="2" t="str">
        <f>IFERROR(VLOOKUP(TRIM(B3),DanhMucNguoiDung!$A$2:$B$5,2,FALSE),"Không tìm thấy người dùng")</f>
        <v>Trần Gia Bảo</v>
      </c>
    </row>
    <row r="4" spans="1:6" x14ac:dyDescent="0.25">
      <c r="A4" s="2" t="s">
        <v>11</v>
      </c>
      <c r="B4" s="2" t="s">
        <v>12</v>
      </c>
      <c r="C4" s="2">
        <v>80000</v>
      </c>
      <c r="D4" s="2">
        <v>800</v>
      </c>
      <c r="E4" s="2" t="s">
        <v>13</v>
      </c>
      <c r="F4" s="2" t="str">
        <f>IFERROR(VLOOKUP(TRIM(B4),DanhMucNguoiDung!$A$2:$B$5,2,FALSE),"Không tìm thấy người dùng")</f>
        <v>Lê Hoàng Mai</v>
      </c>
    </row>
    <row r="5" spans="1:6" hidden="1" x14ac:dyDescent="0.25">
      <c r="A5" s="2" t="s">
        <v>14</v>
      </c>
      <c r="B5" s="2" t="s">
        <v>15</v>
      </c>
      <c r="C5" s="2">
        <v>175000</v>
      </c>
      <c r="D5" s="2">
        <v>1750</v>
      </c>
      <c r="E5" s="2" t="s">
        <v>8</v>
      </c>
      <c r="F5" s="2" t="str">
        <f>IFERROR(VLOOKUP(TRIM(B5),DanhMucNguoiDung!$A$2:$B$5,2,FALSE),"Không tìm thấy người dùng")</f>
        <v>Phạm Quốc Huy</v>
      </c>
    </row>
    <row r="6" spans="1:6" x14ac:dyDescent="0.25">
      <c r="A6" s="2" t="s">
        <v>16</v>
      </c>
      <c r="B6" s="2" t="s">
        <v>17</v>
      </c>
      <c r="C6" s="2">
        <v>50000</v>
      </c>
      <c r="D6" s="2">
        <v>500</v>
      </c>
      <c r="E6" s="2" t="s">
        <v>18</v>
      </c>
      <c r="F6" s="2" t="str">
        <f>IFERROR(VLOOKUP(TRIM(B6),DanhMucNguoiDung!$A$2:$B$5,2,FALSE),"Không tìm thấy người dùng")</f>
        <v>Không tìm thấy người dùng</v>
      </c>
    </row>
    <row r="8" spans="1:6" x14ac:dyDescent="0.25">
      <c r="A8" s="3" t="s">
        <v>19</v>
      </c>
      <c r="B8" s="4">
        <f>SUBTOTAL(9,D2:D6)</f>
        <v>3800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20" customWidth="1"/>
    <col min="2" max="2" width="30" customWidth="1"/>
  </cols>
  <sheetData>
    <row r="1" spans="1:2" x14ac:dyDescent="0.25">
      <c r="A1" s="5" t="s">
        <v>1</v>
      </c>
      <c r="B1" s="5" t="s">
        <v>5</v>
      </c>
    </row>
    <row r="2" spans="1:2" x14ac:dyDescent="0.25">
      <c r="A2" t="s">
        <v>20</v>
      </c>
      <c r="B2" t="s">
        <v>21</v>
      </c>
    </row>
    <row r="3" spans="1:2" x14ac:dyDescent="0.25">
      <c r="A3" t="s">
        <v>10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DoiSoat</vt:lpstr>
      <vt:lpstr>DanhMucNguoiDung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Huệ Hồng</cp:lastModifiedBy>
  <dcterms:created xsi:type="dcterms:W3CDTF">2026-10-25T15:50:57Z</dcterms:created>
  <dcterms:modified xsi:type="dcterms:W3CDTF">2026-10-25T16:00:53Z</dcterms:modified>
</cp:coreProperties>
</file>